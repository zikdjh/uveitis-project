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9fba097e2b4b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清单" sheetId="1" r:id="R87b74c8289da4e6c"/>
    <x:sheet xmlns:r="http://schemas.openxmlformats.org/officeDocument/2006/relationships" name="来源与口径" sheetId="2" r:id="R07de345cb99544eb"/>
    <x:sheet xmlns:r="http://schemas.openxmlformats.org/officeDocument/2006/relationships" name="核对" sheetId="3" r:id="R1514d1d906b8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00"/>
    <x:numFmt numFmtId="201" formatCode="0"/>
    <x:numFmt numFmtId="202" formatCode="&quot;¥&quot;#,##0"/>
    <x:numFmt numFmtId="203" formatCode="@"/>
    <x:numFmt numFmtId="204" formatCode="&quot;¥&quot;#,##0.00"/>
    <x:numFmt numFmtId="205" formatCode="&quot;$&quot;#,##0.00"/>
    <x:numFmt numFmtId="206" formatCode="#,##0.0000"/>
  </x:numFmts>
  <x:fonts count="9">
    <x:font>
      <x:sz val="11"/>
      <x:name val="Carlito"/>
    </x:font>
    <x:font>
      <x:sz val="10"/>
      <x:color rgb="FF20242A"/>
      <x:name val="Arial"/>
    </x:font>
    <x:font>
      <x:b/>
      <x:sz val="14"/>
      <x:color rgb="FF1F2933"/>
      <x:name val="Arial"/>
    </x:font>
    <x:font>
      <x:sz val="10"/>
      <x:color rgb="FF52606D"/>
      <x:name val="Arial"/>
    </x:font>
    <x:font>
      <x:b/>
      <x:sz val="10"/>
      <x:color rgb="FF20242A"/>
      <x:name val="Arial"/>
    </x:font>
    <x:font>
      <x:b/>
      <x:sz val="10"/>
      <x:color rgb="FFFFFFFF"/>
      <x:name val="Arial"/>
    </x:font>
    <x:font>
      <x:b/>
      <x:sz val="10"/>
      <x:color rgb="FF243B53"/>
      <x:name val="Arial"/>
    </x:font>
    <x:font>
      <x:b/>
      <x:sz val="10"/>
      <x:color rgb="FF52606D"/>
      <x:name val="Arial"/>
    </x:font>
    <x:font>
      <x:b/>
      <x:sz val="14"/>
      <x:color rgb="FF20242A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43B53"/>
      </x:patternFill>
    </x:fill>
    <x:fill>
      <x:patternFill patternType="solid">
        <x:fgColor rgb="FFEEF4F8"/>
      </x:patternFill>
    </x:fill>
    <x:fill>
      <x:patternFill patternType="solid">
        <x:fgColor rgb="FFE8EEF3"/>
      </x:patternFill>
    </x:fill>
    <x:fill>
      <x:patternFill patternType="solid">
        <x:fgColor rgb="FFF5F8FA"/>
      </x:patternFill>
    </x:fill>
    <x:fill>
      <x:patternFill patternType="solid">
        <x:fgColor rgb="FFFCFCFC"/>
      </x:patternFill>
    </x:fill>
  </x:fills>
  <x:borders count="5">
    <x:border>
      <x:left/>
      <x:right/>
      <x:top/>
      <x:bottom/>
      <x:diagonal/>
    </x:border>
    <x:border>
      <x:left/>
      <x:right/>
      <x:top/>
      <x:bottom style="thin">
        <x:color rgb="FFB7C4CF"/>
      </x:bottom>
      <x:diagonal/>
    </x:border>
    <x:border>
      <x:left style="thin">
        <x:color rgb="FFE3C878"/>
      </x:left>
      <x:right style="thin">
        <x:color rgb="FFE3C878"/>
      </x:right>
      <x:top style="thin">
        <x:color rgb="FFE3C878"/>
      </x:top>
      <x:bottom style="thin">
        <x:color rgb="FFE3C878"/>
      </x:bottom>
      <x:diagonal/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  <x:diagonal/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  <x:diagonal/>
    </x:border>
  </x:borders>
  <x:cellStyleXfs count="1">
    <x:xf numFmtId="0" fontId="0" fillId="0" borderId="0"/>
  </x:cellStyleXfs>
  <x:cellXfs count="7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200" fontId="1" fillId="2" borderId="2" xfId="0" applyNumberFormat="1" applyFont="1" applyFill="1" applyBorder="1" applyAlignment="1">
      <x:alignment vertical="center"/>
    </x:xf>
    <x:xf numFmtId="201" fontId="1" fillId="2" borderId="2" xfId="0" applyNumberFormat="1" applyFont="1" applyFill="1" applyBorder="1" applyAlignment="1">
      <x:alignment vertical="center"/>
    </x:xf>
    <x:xf numFmtId="202" fontId="1" fillId="2" borderId="2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3" fontId="1" fillId="4" borderId="3" xfId="0" applyNumberFormat="1" applyFont="1" applyFill="1" applyBorder="1" applyAlignment="1">
      <x:alignment vertical="center"/>
    </x:xf>
    <x:xf numFmtId="203" fontId="4" fillId="4" borderId="3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4" fontId="1" fillId="0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204" fontId="1" fillId="0" borderId="3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205" fontId="1" fillId="0" borderId="3" xfId="0" applyNumberFormat="1" applyFont="1" applyFill="1" applyBorder="1" applyAlignment="1">
      <x:alignment vertical="center" wrapText="1"/>
    </x:xf>
    <x:xf numFmtId="0" fontId="1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vertical="center" wrapText="1"/>
    </x:xf>
    <x:xf numFmtId="0" fontId="4" fillId="6" borderId="3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horizontal="left" vertical="center" wrapText="1"/>
    </x:xf>
    <x:xf numFmtId="204" fontId="1" fillId="0" borderId="3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205" fontId="1" fillId="0" borderId="3" xfId="0" applyNumberFormat="1" applyFont="1" applyFill="1" applyBorder="1" applyAlignment="1">
      <x:alignment horizontal="left" vertical="center" wrapText="1"/>
    </x:xf>
    <x:xf numFmtId="204" fontId="1" fillId="0" borderId="3" xfId="0" applyNumberFormat="1" applyFont="1" applyFill="1" applyBorder="1" applyAlignment="1">
      <x:alignment horizontal="right" vertical="center" wrapText="1"/>
    </x:xf>
    <x:xf numFmtId="205" fontId="1" fillId="0" borderId="3" xfId="0" applyNumberFormat="1" applyFont="1" applyFill="1" applyBorder="1" applyAlignment="1">
      <x:alignment horizontal="right" vertical="center" wrapText="1"/>
    </x:xf>
    <x:xf numFmtId="0" fontId="4" fillId="7" borderId="3" xfId="0" applyNumberFormat="1" applyFont="1" applyFill="1" applyBorder="1" applyAlignment="1">
      <x:alignment horizontal="left" vertical="center" wrapText="1"/>
    </x:xf>
    <x:xf numFmtId="0" fontId="1" fillId="7" borderId="3" xfId="0" applyNumberFormat="1" applyFont="1" applyFill="1" applyBorder="1" applyAlignment="1">
      <x:alignment horizontal="left" vertical="center" wrapText="1"/>
    </x:xf>
    <x:xf numFmtId="0" fontId="7" fillId="7" borderId="3" xfId="0" applyNumberFormat="1" applyFont="1" applyFill="1" applyBorder="1" applyAlignment="1">
      <x:alignment horizontal="left" vertical="center" wrapText="1"/>
    </x:xf>
    <x:xf numFmtId="0" fontId="3" fillId="7" borderId="3" xfId="0" applyNumberFormat="1" applyFont="1" applyFill="1" applyBorder="1" applyAlignment="1">
      <x:alignment horizontal="left" vertical="center" wrapText="1"/>
    </x:xf>
    <x:xf numFmtId="0" fontId="1" fillId="0" borderId="3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 wrapText="0"/>
    </x:xf>
    <x:xf numFmtId="204" fontId="1" fillId="0" borderId="3" xfId="0" applyNumberFormat="1" applyFont="1" applyFill="1" applyBorder="1" applyAlignment="1">
      <x:alignment vertical="center" wrapText="0"/>
    </x:xf>
    <x:xf numFmtId="0" fontId="1" fillId="6" borderId="3" xfId="0" applyNumberFormat="1" applyFont="1" applyFill="1" applyBorder="1" applyAlignment="1">
      <x:alignment vertical="center" wrapText="0"/>
    </x:xf>
    <x:xf numFmtId="203" fontId="1" fillId="0" borderId="3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4" xfId="0" applyNumberFormat="1" applyFont="1" applyFill="1" applyBorder="1" applyAlignment="1">
      <x:alignment vertical="center" wrapText="0"/>
    </x:xf>
    <x:xf numFmtId="0" fontId="1" fillId="0" borderId="4" xfId="0" applyNumberFormat="1" applyFont="1" applyFill="1" applyBorder="1" applyAlignment="1">
      <x:alignment vertical="center" wrapText="0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 wrapText="1"/>
    </x:xf>
    <x:xf numFmtId="206" fontId="1" fillId="0" borderId="3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0"/>
    </x:xf>
    <x:xf numFmtId="0" fontId="1" fillId="0" borderId="3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e5622b09dd4351" /><Relationship Type="http://schemas.openxmlformats.org/officeDocument/2006/relationships/theme" Target="/xl/theme/theme1.xml" Id="Rf7e5ba7795d94eac" /><Relationship Type="http://schemas.openxmlformats.org/officeDocument/2006/relationships/sharedStrings" Target="/xl/sharedStrings.xml" Id="R8d6523d4c67f4a35" /><Relationship Type="http://schemas.openxmlformats.org/officeDocument/2006/relationships/worksheet" Target="/xl/worksheets/sheet1.xml" Id="R87b74c8289da4e6c" /><Relationship Type="http://schemas.openxmlformats.org/officeDocument/2006/relationships/worksheet" Target="/xl/worksheets/sheet2.xml" Id="R07de345cb99544eb" /><Relationship Type="http://schemas.openxmlformats.org/officeDocument/2006/relationships/worksheet" Target="/xl/worksheets/sheet3.xml" Id="R1514d1d906b84c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5" max="5" width="20" hidden="0" customWidth="1"/>
    <x:col min="6" max="6" width="20" hidden="0" customWidth="1"/>
    <x:col min="7" max="7" width="20" hidden="0" customWidth="1"/>
    <x:col min="8" max="8" width="25" hidden="0" customWidth="1"/>
    <x:col min="1" max="1" width="20" hidden="0" customWidth="1"/>
    <x:col min="2" max="2" width="14" hidden="0" customWidth="1"/>
    <x:col min="3" max="3" width="15" hidden="0" customWidth="1"/>
    <x:col min="4" max="4" width="31" hidden="0" customWidth="1"/>
    <x:col min="9" max="9" width="19" hidden="0" customWidth="1"/>
    <x:col min="10" max="10" width="18" hidden="0" customWidth="1"/>
    <x:col min="11" max="11" width="17" hidden="0" customWidth="1"/>
    <x:col min="12" max="12" width="2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5" t="str">
        <x:v>24GB 显存 GPU 云服务器报价清单</x:v>
      </x:c>
      <x:c r="B2" s="6"/>
      <x:c r="C2" s="6"/>
      <x:c r="D2" s="6"/>
      <x:c r="E2" s="6"/>
      <x:c r="F2" s="6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目标配置：1×24GB GPU · 8 核 · 32GB 内存 · 80GB 存储 · 价格采样日 2026-10-25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1" t="str">
        <x:v>方案</x:v>
      </x:c>
      <x:c r="E4" s="21" t="str">
        <x:v>供应商 / 实例</x:v>
      </x:c>
      <x:c r="F4" s="21" t="str">
        <x:v>人民币/小时</x:v>
      </x:c>
      <x:c r="G4" s="21" t="str">
        <x:v>人民币/72小时</x:v>
      </x:c>
      <x:c r="H4" s="21" t="str">
        <x:v>人民币/30天</x:v>
      </x:c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15" t="str">
        <x:v>基准汇率（USD→CNY）</x:v>
      </x:c>
      <x:c r="B5" s="16" t="n">
        <x:v>6.6702</x:v>
      </x:c>
      <x:c r="C5" s="2"/>
      <x:c r="D5" s="27" t="str">
        <x:v>最低可运行方案</x:v>
      </x:c>
      <x:c r="E5" s="24" t="str">
        <x:v>极智算 RTX 4090</x:v>
      </x:c>
      <x:c r="F5" s="25" t="n">
        <x:v>1.57</x:v>
      </x:c>
      <x:c r="G5" s="25" t="n">
        <x:v>113.04</x:v>
      </x:c>
      <x:c r="H5" s="25" t="n">
        <x:v>1074</x:v>
      </x:c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>
      <x:c r="A6" s="15" t="str">
        <x:v>单日小时数</x:v>
      </x:c>
      <x:c r="B6" s="17" t="n">
        <x:v>24</x:v>
      </x:c>
      <x:c r="C6" s="2"/>
      <x:c r="D6" s="27" t="str">
        <x:v>国内低价备选</x:v>
      </x:c>
      <x:c r="E6" s="24" t="str">
        <x:v>AnyGPU RTX 3090</x:v>
      </x:c>
      <x:c r="F6" s="25" t="n">
        <x:v>1.36</x:v>
      </x:c>
      <x:c r="G6" s="25" t="n">
        <x:v>97.92</x:v>
      </x:c>
      <x:c r="H6" s="25" t="n">
        <x:v>783.2</x:v>
      </x:c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>
      <x:c r="A7" s="15" t="str">
        <x:v>30天小时数</x:v>
      </x:c>
      <x:c r="B7" s="17" t="n">
        <x:v>720</x:v>
      </x:c>
      <x:c r="C7" s="2"/>
      <x:c r="D7" s="27" t="str">
        <x:v>海外低门槛备选</x:v>
      </x:c>
      <x:c r="E7" s="24" t="str">
        <x:v>RunPod L4</x:v>
      </x:c>
      <x:c r="F7" s="25" t="n">
        <x:v>3.935418</x:v>
      </x:c>
      <x:c r="G7" s="25" t="n">
        <x:v>283.350096</x:v>
      </x:c>
      <x:c r="H7" s="25" t="n">
        <x:v>2836.16904</x:v>
      </x:c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>
      <x:c r="A8" s="15" t="str">
        <x:v>短时样例小时数</x:v>
      </x:c>
      <x:c r="B8" s="18" t="n">
        <x:v>72</x:v>
      </x:c>
      <x:c r="C8" s="2"/>
      <x:c r="D8" s="27" t="str">
        <x:v>配置完全匹配</x:v>
      </x:c>
      <x:c r="E8" s="24" t="str">
        <x:v>AWS g6.2xlarge</x:v>
      </x:c>
      <x:c r="F8" s="25" t="n">
        <x:v>6.52078752</x:v>
      </x:c>
      <x:c r="G8" s="25" t="n">
        <x:v>469.49670144</x:v>
      </x:c>
      <x:c r="H8" s="25" t="n">
        <x:v>31672.30152</x:v>
      </x:c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>
      <x:c r="A9" s="15" t="str">
        <x:v>短时样例预算（人民币）</x:v>
      </x:c>
      <x:c r="B9" s="18" t="n">
        <x:v>1000</x:v>
      </x:c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>
      <x:c r="A10" s="29" t="str">
        <x:v>可采购方案（按实配报价，未将未披露的费用猜入总价）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4.5" customHeight="1">
      <x:c r="A11" s="30" t="str">
        <x:v>方案定位</x:v>
      </x:c>
      <x:c r="B11" s="30" t="str">
        <x:v>供应商</x:v>
      </x:c>
      <x:c r="C11" s="30" t="str">
        <x:v>GPU 型号</x:v>
      </x:c>
      <x:c r="D11" s="30" t="str">
        <x:v>实配：显存 / 内存 / 核 / 存储</x:v>
      </x:c>
      <x:c r="E11" s="30" t="str">
        <x:v>实配月价（原币）</x:v>
      </x:c>
      <x:c r="F11" s="30" t="str">
        <x:v>实配月价（人民币）</x:v>
      </x:c>
      <x:c r="G11" s="30" t="str">
        <x:v>官网小时价（人民币）</x:v>
      </x:c>
      <x:c r="H11" s="30" t="str">
        <x:v>月价折算小时价（人民币）</x:v>
      </x:c>
      <x:c r="I11" s="30" t="str">
        <x:v>存储是否含在月价</x:v>
      </x:c>
      <x:c r="J11" s="30" t="str">
        <x:v>配置偏差</x:v>
      </x:c>
      <x:c r="K11" s="30" t="str">
        <x:v>报价性质</x:v>
      </x:c>
      <x:c r="L11" s="30" t="str">
        <x:v>官网入口</x:v>
      </x:c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3" customHeight="1">
      <x:c r="A12" s="45" t="str">
        <x:v>最低可运行方案</x:v>
      </x:c>
      <x:c r="B12" s="46" t="str">
        <x:v>极智算</x:v>
      </x:c>
      <x:c r="C12" s="46" t="str">
        <x:v>RTX 4090</x:v>
      </x:c>
      <x:c r="D12" s="46" t="str">
        <x:v>24GB / 60GB / 15核 / 100GB数据盘</x:v>
      </x:c>
      <x:c r="E12" s="50" t="n">
        <x:v>1074</x:v>
      </x:c>
      <x:c r="F12" s="50" t="n">
        <x:f>E12</x:f>
        <x:v>1074</x:v>
      </x:c>
      <x:c r="G12" s="50" t="n">
        <x:v>1.57</x:v>
      </x:c>
      <x:c r="H12" s="50" t="n">
        <x:f>F12/720</x:f>
        <x:v>1.4916666666666667</x:v>
      </x:c>
      <x:c r="I12" s="46" t="str">
        <x:v>含</x:v>
      </x:c>
      <x:c r="J12" s="48" t="str">
        <x:v>见备注12</x:v>
      </x:c>
      <x:c r="K12" s="48" t="str">
        <x:v>月付与小时价</x:v>
      </x:c>
      <x:c r="L12" s="46" t="str">
        <x:v>官网</x:v>
      </x:c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3" customHeight="1">
      <x:c r="A13" s="45" t="str">
        <x:v>国内低价备选</x:v>
      </x:c>
      <x:c r="B13" s="46" t="str">
        <x:v>AnyGPU</x:v>
      </x:c>
      <x:c r="C13" s="46" t="str">
        <x:v>RTX 3090</x:v>
      </x:c>
      <x:c r="D13" s="46" t="str">
        <x:v>24GB / 48GB / 8核 / 50GB系统盘+200GB数据盘</x:v>
      </x:c>
      <x:c r="E13" s="50" t="n">
        <x:v>783.2</x:v>
      </x:c>
      <x:c r="F13" s="50" t="n">
        <x:f>E13</x:f>
        <x:v>783.2</x:v>
      </x:c>
      <x:c r="G13" s="50" t="n">
        <x:v>1.36</x:v>
      </x:c>
      <x:c r="H13" s="50" t="n">
        <x:f>F13/720</x:f>
        <x:v>1.0877777777777777</x:v>
      </x:c>
      <x:c r="I13" s="46" t="str">
        <x:v>含</x:v>
      </x:c>
      <x:c r="J13" s="48" t="str">
        <x:v>见备注13</x:v>
      </x:c>
      <x:c r="K13" s="48" t="str">
        <x:v>会员月价</x:v>
      </x:c>
      <x:c r="L13" s="46" t="str">
        <x:v>官网</x:v>
      </x:c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3" customHeight="1">
      <x:c r="A14" s="45" t="str">
        <x:v>最接近目标配置</x:v>
      </x:c>
      <x:c r="B14" s="46" t="str">
        <x:v>AWS</x:v>
      </x:c>
      <x:c r="C14" s="46" t="str">
        <x:v>NVIDIA L4</x:v>
      </x:c>
      <x:c r="D14" s="46" t="str">
        <x:v>24GB / 32GiB / 8 vCPU / 80GiB EBS</x:v>
      </x:c>
      <x:c r="E14" s="51" t="n">
        <x:f>(0.9776+8/720)*720*$B$5</x:f>
        <x:v>4748.3286144</x:v>
      </x:c>
      <x:c r="F14" s="50" t="n">
        <x:f>E14*$B$5</x:f>
        <x:v>31672.301523770882</x:v>
      </x:c>
      <x:c r="G14" s="50" t="n">
        <x:f>0.9776*$B$5</x:f>
        <x:v>6.520787520000001</x:v>
      </x:c>
      <x:c r="H14" s="50" t="n">
        <x:f>F14/720</x:f>
        <x:v>43.989307671904</x:v>
      </x:c>
      <x:c r="I14" s="46" t="str">
        <x:v>另计，已计入月价</x:v>
      </x:c>
      <x:c r="J14" s="48" t="str">
        <x:v>见备注14</x:v>
      </x:c>
      <x:c r="K14" s="48" t="str">
        <x:v>AWS按需价+EBS</x:v>
      </x:c>
      <x:c r="L14" s="46" t="str">
        <x:v>官网</x:v>
      </x:c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3" customHeight="1">
      <x:c r="A15" s="45" t="str">
        <x:v>海外低门槛备选</x:v>
      </x:c>
      <x:c r="B15" s="46" t="str">
        <x:v>RunPod</x:v>
      </x:c>
      <x:c r="C15" s="46" t="str">
        <x:v>NVIDIA L4</x:v>
      </x:c>
      <x:c r="D15" s="46" t="str">
        <x:v>24GB / 50GB / 12 vCPU / 80GB磁盘</x:v>
      </x:c>
      <x:c r="E15" s="51" t="n">
        <x:v>425.2</x:v>
      </x:c>
      <x:c r="F15" s="50" t="n">
        <x:f>E15*$B$5</x:f>
        <x:v>2836.16904</x:v>
      </x:c>
      <x:c r="G15" s="50" t="n">
        <x:f>0.59*$B$5</x:f>
        <x:v>3.935418</x:v>
      </x:c>
      <x:c r="H15" s="50" t="n">
        <x:f>F15/720</x:f>
        <x:v>3.939123666666667</x:v>
      </x:c>
      <x:c r="I15" s="46" t="str">
        <x:v>含</x:v>
      </x:c>
      <x:c r="J15" s="48" t="str">
        <x:v>见备注15</x:v>
      </x:c>
      <x:c r="K15" s="48" t="str">
        <x:v>社区云按需价</x:v>
      </x:c>
      <x:c r="L15" s="46" t="str">
        <x:v>官网</x:v>
      </x:c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3" customHeight="1">
      <x:c r="A16" s="45" t="str">
        <x:v>海外品牌云参考</x:v>
      </x:c>
      <x:c r="B16" s="46" t="str">
        <x:v>RunPod</x:v>
      </x:c>
      <x:c r="C16" s="46" t="str">
        <x:v>RTX 4090</x:v>
      </x:c>
      <x:c r="D16" s="46" t="str">
        <x:v>24GB / 41GB / 6 vCPU / 80GB磁盘</x:v>
      </x:c>
      <x:c r="E16" s="51" t="n">
        <x:v>640.8</x:v>
      </x:c>
      <x:c r="F16" s="50" t="n">
        <x:f>E16*$B$5</x:f>
        <x:v>4274.26416</x:v>
      </x:c>
      <x:c r="G16" s="50" t="n">
        <x:f>0.89*$B$5</x:f>
        <x:v>5.936478</x:v>
      </x:c>
      <x:c r="H16" s="50" t="n">
        <x:f>F16/720</x:f>
        <x:v>5.936477999999999</x:v>
      </x:c>
      <x:c r="I16" s="46" t="str">
        <x:v>含</x:v>
      </x:c>
      <x:c r="J16" s="48" t="str">
        <x:v>见备注16</x:v>
      </x:c>
      <x:c r="K16" s="48" t="str">
        <x:v>社区云按需价</x:v>
      </x:c>
      <x:c r="L16" s="46" t="str">
        <x:v>官网</x:v>
      </x:c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3" customHeight="1">
      <x:c r="A17" s="45" t="str">
        <x:v>按卡购买参考</x:v>
      </x:c>
      <x:c r="B17" s="46" t="str">
        <x:v>AutoDL</x:v>
      </x:c>
      <x:c r="C17" s="46" t="str">
        <x:v>RTX 4090</x:v>
      </x:c>
      <x:c r="D17" s="46" t="str">
        <x:v>24GB / 32GB / 8核 / 80GB</x:v>
      </x:c>
      <x:c r="E17" s="50" t="n">
        <x:f>1.88*720</x:f>
        <x:v>1353.6</x:v>
      </x:c>
      <x:c r="F17" s="50" t="n">
        <x:f>E17</x:f>
        <x:v>1353.6</x:v>
      </x:c>
      <x:c r="G17" s="50" t="n">
        <x:v>1.88</x:v>
      </x:c>
      <x:c r="H17" s="50" t="n">
        <x:f>F17/720</x:f>
        <x:v>1.88</x:v>
      </x:c>
      <x:c r="I17" s="46" t="str">
        <x:v>按所选实例</x:v>
      </x:c>
      <x:c r="J17" s="48" t="str">
        <x:v>见备注17</x:v>
      </x:c>
      <x:c r="K17" s="48" t="str">
        <x:v>仅GPU小时价</x:v>
      </x:c>
      <x:c r="L17" s="46" t="str">
        <x:v>官网</x:v>
      </x:c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3" customHeight="1">
      <x:c r="A18" s="45" t="str">
        <x:v>按卡购买参考</x:v>
      </x:c>
      <x:c r="B18" s="46" t="str">
        <x:v>AutoDL</x:v>
      </x:c>
      <x:c r="C18" s="46" t="str">
        <x:v>RTX 3090</x:v>
      </x:c>
      <x:c r="D18" s="46" t="str">
        <x:v>24GB / 32GB / 8核 / 80GB</x:v>
      </x:c>
      <x:c r="E18" s="50" t="n">
        <x:f>1.32*720</x:f>
        <x:v>950.4000000000001</x:v>
      </x:c>
      <x:c r="F18" s="50" t="n">
        <x:f>E18</x:f>
        <x:v>950.4000000000001</x:v>
      </x:c>
      <x:c r="G18" s="50" t="n">
        <x:v>1.32</x:v>
      </x:c>
      <x:c r="H18" s="50" t="n">
        <x:f>F18/720</x:f>
        <x:v>1.32</x:v>
      </x:c>
      <x:c r="I18" s="46" t="str">
        <x:v>按所选实例</x:v>
      </x:c>
      <x:c r="J18" s="48" t="str">
        <x:v>见备注18</x:v>
      </x:c>
      <x:c r="K18" s="48" t="str">
        <x:v>仅GPU小时价</x:v>
      </x:c>
      <x:c r="L18" s="46" t="str">
        <x:v>官网</x:v>
      </x:c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33" customHeight="1">
      <x:c r="A19" s="54" t="str">
        <x:v>企业云参考</x:v>
      </x:c>
      <x:c r="B19" s="55" t="str">
        <x:v>腾讯云</x:v>
      </x:c>
      <x:c r="C19" s="55" t="str">
        <x:v>NVIDIA A10</x:v>
      </x:c>
      <x:c r="D19" s="55" t="str">
        <x:v>24GB / 116GiB / 28 vCPU / 80GiB</x:v>
      </x:c>
      <x:c r="E19" s="55" t="str">
        <x:v>询价</x:v>
      </x:c>
      <x:c r="F19" s="55" t="str">
        <x:v>询价</x:v>
      </x:c>
      <x:c r="G19" s="55" t="str">
        <x:v>询价</x:v>
      </x:c>
      <x:c r="H19" s="55" t="str">
        <x:v>询价</x:v>
      </x:c>
      <x:c r="I19" s="55" t="str">
        <x:v>另计</x:v>
      </x:c>
      <x:c r="J19" s="55" t="str">
        <x:v>见备注19</x:v>
      </x:c>
      <x:c r="K19" s="55" t="str">
        <x:v>价格计算器询价</x:v>
      </x:c>
      <x:c r="L19" s="55" t="str">
        <x:v>官网</x:v>
      </x:c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33" customHeight="1">
      <x:c r="A20" s="54" t="str">
        <x:v>企业云参考</x:v>
      </x:c>
      <x:c r="B20" s="55" t="str">
        <x:v>阿里云</x:v>
      </x:c>
      <x:c r="C20" s="55" t="str">
        <x:v>NVIDIA A10</x:v>
      </x:c>
      <x:c r="D20" s="55" t="str">
        <x:v>24GB / 31GiB / 8 vCPU / 80GiB</x:v>
      </x:c>
      <x:c r="E20" s="55" t="str">
        <x:v>询价</x:v>
      </x:c>
      <x:c r="F20" s="55" t="str">
        <x:v>询价</x:v>
      </x:c>
      <x:c r="G20" s="55" t="str">
        <x:v>询价</x:v>
      </x:c>
      <x:c r="H20" s="55" t="str">
        <x:v>询价</x:v>
      </x:c>
      <x:c r="I20" s="55" t="str">
        <x:v>另计</x:v>
      </x:c>
      <x:c r="J20" s="55" t="str">
        <x:v>见备注20</x:v>
      </x:c>
      <x:c r="K20" s="55" t="str">
        <x:v>公开规格页询价</x:v>
      </x:c>
      <x:c r="L20" s="55" t="str">
        <x:v>官网</x:v>
      </x:c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9" t="str">
        <x:v>同配置费用测算（使用上方黄色输入）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5.5" customHeight="1">
      <x:c r="A23" s="30" t="str">
        <x:v>供应商 / 实例</x:v>
      </x:c>
      <x:c r="B23" s="30" t="str">
        <x:v>人民币/小时</x:v>
      </x:c>
      <x:c r="C23" s="30" t="str">
        <x:v>人民币/24小时</x:v>
      </x:c>
      <x:c r="D23" s="30" t="str">
        <x:v>人民币/72小时</x:v>
      </x:c>
      <x:c r="E23" s="30" t="str">
        <x:v>人民币/30天</x:v>
      </x:c>
      <x:c r="F23" s="30" t="str">
        <x:v>人民币/年</x:v>
      </x:c>
      <x:c r="G23" s="30" t="str">
        <x:v>是否低于72小时样例</x:v>
      </x:c>
      <x:c r="H23" s="30" t="str">
        <x:v>主要未计入项</x:v>
      </x:c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5.5" customHeight="1">
      <x:c r="A24" s="59" t="str">
        <x:v>极智算 RTX 4090（15核/60GB/100GB）</x:v>
      </x:c>
      <x:c r="B24" s="58" t="n">
        <x:f>G12</x:f>
        <x:v>1.57</x:v>
      </x:c>
      <x:c r="C24" s="58" t="n">
        <x:f>B24*$B$6</x:f>
        <x:v>37.68</x:v>
      </x:c>
      <x:c r="D24" s="58" t="n">
        <x:f>B24*$B$8</x:f>
        <x:v>113.04</x:v>
      </x:c>
      <x:c r="E24" s="58" t="n">
        <x:f>F12</x:f>
        <x:v>1074</x:v>
      </x:c>
      <x:c r="F24" s="58" t="n">
        <x:f>E24*12</x:f>
        <x:v>12888</x:v>
      </x:c>
      <x:c r="G24" s="60" t="str">
        <x:f>IF(D24&lt;=$B$9,"是","否")</x:f>
        <x:v>是</x:v>
      </x:c>
      <x:c r="H24" s="57" t="str">
        <x:v>月价取包月；短时取官网小时价</x:v>
      </x:c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25.5" customHeight="1">
      <x:c r="A25" s="59" t="str">
        <x:v>AWS g6.2xlarge + 80GiB EBS</x:v>
      </x:c>
      <x:c r="B25" s="58" t="n">
        <x:f>G14</x:f>
        <x:v>6.520787520000001</x:v>
      </x:c>
      <x:c r="C25" s="58" t="n">
        <x:f>B25*$B$6</x:f>
        <x:v>156.49890048000003</x:v>
      </x:c>
      <x:c r="D25" s="58" t="n">
        <x:f>B25*$B$8</x:f>
        <x:v>469.49670144000004</x:v>
      </x:c>
      <x:c r="E25" s="58" t="n">
        <x:f>F14</x:f>
        <x:v>31672.301523770882</x:v>
      </x:c>
      <x:c r="F25" s="58" t="n">
        <x:f>E25*12</x:f>
        <x:v>380067.6182852506</x:v>
      </x:c>
      <x:c r="G25" s="60" t="str">
        <x:f>IF(D25&lt;=$B$9,"是","否")</x:f>
        <x:v>是</x:v>
      </x:c>
      <x:c r="H25" s="57" t="str">
        <x:v>公网出流量、快照、税费</x:v>
      </x:c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5.5" customHeight="1">
      <x:c r="A26" s="59" t="str">
        <x:v>AnyGPU RTX 3090（8核/48GB/250GB）</x:v>
      </x:c>
      <x:c r="B26" s="58" t="n">
        <x:f>G13</x:f>
        <x:v>1.36</x:v>
      </x:c>
      <x:c r="C26" s="58" t="n">
        <x:f>B26*$B$6</x:f>
        <x:v>32.64</x:v>
      </x:c>
      <x:c r="D26" s="58" t="n">
        <x:f>B26*$B$8</x:f>
        <x:v>97.92</x:v>
      </x:c>
      <x:c r="E26" s="58" t="n">
        <x:f>F13</x:f>
        <x:v>783.2</x:v>
      </x:c>
      <x:c r="F26" s="58" t="n">
        <x:f>E26*12</x:f>
        <x:v>9398.400000000001</x:v>
      </x:c>
      <x:c r="G26" s="60" t="str">
        <x:f>IF(D26&lt;=$B$9,"是","否")</x:f>
        <x:v>是</x:v>
      </x:c>
      <x:c r="H26" s="57" t="str">
        <x:v>会员价；短时取会员小时价</x:v>
      </x:c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25.5" customHeight="1">
      <x:c r="A27" s="59" t="str">
        <x:v>RunPod L4（12核/50GB/80GB）</x:v>
      </x:c>
      <x:c r="B27" s="58" t="n">
        <x:f>G15</x:f>
        <x:v>3.935418</x:v>
      </x:c>
      <x:c r="C27" s="58" t="n">
        <x:f>B27*$B$6</x:f>
        <x:v>94.450032</x:v>
      </x:c>
      <x:c r="D27" s="58" t="n">
        <x:f>B27*$B$8</x:f>
        <x:v>283.350096</x:v>
      </x:c>
      <x:c r="E27" s="58" t="n">
        <x:f>F15</x:f>
        <x:v>2836.16904</x:v>
      </x:c>
      <x:c r="F27" s="58" t="n">
        <x:f>E27*12</x:f>
        <x:v>34034.02848</x:v>
      </x:c>
      <x:c r="G27" s="60" t="str">
        <x:f>IF(D27&lt;=$B$9,"是","否")</x:f>
        <x:v>是</x:v>
      </x:c>
      <x:c r="H27" s="57" t="str">
        <x:v>公网流量、镜像缓存、税费</x:v>
      </x:c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25.5" customHeight="1">
      <x:c r="A28" s="59" t="str">
        <x:v>RunPod RTX 4090（6核/41GB/80GB）</x:v>
      </x:c>
      <x:c r="B28" s="58" t="n">
        <x:f>G16</x:f>
        <x:v>5.936478</x:v>
      </x:c>
      <x:c r="C28" s="58" t="n">
        <x:f>B28*$B$6</x:f>
        <x:v>142.475472</x:v>
      </x:c>
      <x:c r="D28" s="58" t="n">
        <x:f>B28*$B$8</x:f>
        <x:v>427.426416</x:v>
      </x:c>
      <x:c r="E28" s="58" t="n">
        <x:f>F16</x:f>
        <x:v>4274.26416</x:v>
      </x:c>
      <x:c r="F28" s="58" t="n">
        <x:f>E28*12</x:f>
        <x:v>51291.16992</x:v>
      </x:c>
      <x:c r="G28" s="60" t="str">
        <x:f>IF(D28&lt;=$B$9,"是","否")</x:f>
        <x:v>是</x:v>
      </x:c>
      <x:c r="H28" s="57" t="str">
        <x:v>公网流量、镜像缓存、税费</x:v>
      </x:c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25.5" customHeight="1">
      <x:c r="A29" s="59" t="str">
        <x:v>AutoDL RTX 4090（卡价，配置待核）</x:v>
      </x:c>
      <x:c r="B29" s="58" t="n">
        <x:f>G17</x:f>
        <x:v>1.88</x:v>
      </x:c>
      <x:c r="C29" s="58" t="n">
        <x:f>B29*$B$6</x:f>
        <x:v>45.12</x:v>
      </x:c>
      <x:c r="D29" s="58" t="n">
        <x:f>B29*$B$8</x:f>
        <x:v>135.35999999999999</x:v>
      </x:c>
      <x:c r="E29" s="58" t="n">
        <x:f>F17</x:f>
        <x:v>1353.6</x:v>
      </x:c>
      <x:c r="F29" s="58" t="n">
        <x:f>E29*12</x:f>
        <x:v>16243.199999999999</x:v>
      </x:c>
      <x:c r="G29" s="60" t="str">
        <x:f>IF(D29&lt;=$B$9,"是","否")</x:f>
        <x:v>是</x:v>
      </x:c>
      <x:c r="H29" s="57" t="str">
        <x:v>CPU/内存/磁盘总价需控制台确认</x:v>
      </x:c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25.5" customHeight="1">
      <x:c r="A30" s="59" t="str">
        <x:v>AutoDL RTX 3090（卡价，配置待核）</x:v>
      </x:c>
      <x:c r="B30" s="58" t="n">
        <x:f>G18</x:f>
        <x:v>1.32</x:v>
      </x:c>
      <x:c r="C30" s="58" t="n">
        <x:f>B30*$B$6</x:f>
        <x:v>31.68</x:v>
      </x:c>
      <x:c r="D30" s="58" t="n">
        <x:f>B30*$B$8</x:f>
        <x:v>95.04</x:v>
      </x:c>
      <x:c r="E30" s="58" t="n">
        <x:f>F18</x:f>
        <x:v>950.4000000000001</x:v>
      </x:c>
      <x:c r="F30" s="58" t="n">
        <x:f>E30*12</x:f>
        <x:v>11404.800000000001</x:v>
      </x:c>
      <x:c r="G30" s="60" t="str">
        <x:f>IF(D30&lt;=$B$9,"是","否")</x:f>
        <x:v>是</x:v>
      </x:c>
      <x:c r="H30" s="57" t="str">
        <x:v>CPU/内存/磁盘总价需控制台确认</x:v>
      </x:c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9" t="str">
        <x:v>采购建议与解释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21" customHeight="1">
      <x:c r="A33" s="63" t="str">
        <x:v>短时优先</x:v>
      </x:c>
      <x:c r="B33" s="64" t="str">
        <x:v>按可编辑的1000元/72小时样例，极智算RTX 4090按官网小时价约113.04元；若购买包月约1074元。</x:v>
      </x:c>
      <x:c r="C33" s="64"/>
      <x:c r="D33" s="64"/>
      <x:c r="E33" s="64"/>
      <x:c r="F33" s="64"/>
      <x:c r="G33" s="64"/>
      <x:c r="H33" s="64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21" customHeight="1">
      <x:c r="A34" s="63" t="str">
        <x:v>严格配置优先</x:v>
      </x:c>
      <x:c r="B34" s="64" t="str">
        <x:v>AWS g6.2xlarge + 80GiB EBS的CPU和内存完全匹配，但L4算力明显低于RTX 4090，适合推理和轻训练。</x:v>
      </x:c>
      <x:c r="C34" s="64"/>
      <x:c r="D34" s="64"/>
      <x:c r="E34" s="64"/>
      <x:c r="F34" s="64"/>
      <x:c r="G34" s="64"/>
      <x:c r="H34" s="64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21" customHeight="1">
      <x:c r="A35" s="63" t="str">
        <x:v>国内采购优先</x:v>
      </x:c>
      <x:c r="B35" s="64" t="str">
        <x:v>AnyGPU月价最低，但公开实例是8核48GB、250GB存储；可先问能否降内存和存储，再确认实际降价。</x:v>
      </x:c>
      <x:c r="C35" s="64"/>
      <x:c r="D35" s="64"/>
      <x:c r="E35" s="64"/>
      <x:c r="F35" s="64"/>
      <x:c r="G35" s="64"/>
      <x:c r="H35" s="64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21" customHeight="1">
      <x:c r="A36" s="63" t="str">
        <x:v>签约前必问</x:v>
      </x:c>
      <x:c r="B36" s="64" t="str">
        <x:v>库存与地域、含税专票、关机是否计费、出网流量、持久盘、快照、停机数据保留、SLA与退款规则。</x:v>
      </x:c>
      <x:c r="C36" s="64"/>
      <x:c r="D36" s="64"/>
      <x:c r="E36" s="64"/>
      <x:c r="F36" s="64"/>
      <x:c r="G36" s="64"/>
      <x:c r="H36" s="64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9" t="str">
        <x:v>配置与链接备注</x:v>
      </x:c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24" customHeight="1">
      <x:c r="A39" s="36" t="str">
        <x:v>备注12</x:v>
      </x:c>
      <x:c r="B39" s="35" t="str">
        <x:v>极智算</x:v>
      </x:c>
      <x:c r="C39" s="35" t="str">
        <x:v>RTX 4090</x:v>
      </x:c>
      <x:c r="D39" s="35" t="str">
        <x:v>内存高28GB，CPU高7核，存储高20GB；无低配切换</x:v>
      </x:c>
      <x:c r="E39" s="35" t="str">
        <x:v>月付与小时价</x:v>
      </x:c>
      <x:c r="F39" s="35" t="str">
        <x:v>https://www.jygpu.com/</x:v>
      </x:c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24" customHeight="1">
      <x:c r="A40" s="36" t="str">
        <x:v>备注13</x:v>
      </x:c>
      <x:c r="B40" s="35" t="str">
        <x:v>AnyGPU</x:v>
      </x:c>
      <x:c r="C40" s="35" t="str">
        <x:v>RTX 3090</x:v>
      </x:c>
      <x:c r="D40" s="35" t="str">
        <x:v>内存高16GB，存储高170GB</x:v>
      </x:c>
      <x:c r="E40" s="35" t="str">
        <x:v>会员月价</x:v>
      </x:c>
      <x:c r="F40" s="35" t="str">
        <x:v>https://anygpu.cn/3090.html</x:v>
      </x:c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24" customHeight="1">
      <x:c r="A41" s="36" t="str">
        <x:v>备注14</x:v>
      </x:c>
      <x:c r="B41" s="35" t="str">
        <x:v>AWS</x:v>
      </x:c>
      <x:c r="C41" s="35" t="str">
        <x:v>NVIDIA L4</x:v>
      </x:c>
      <x:c r="D41" s="35" t="str">
        <x:v>L4算力低于RTX 4090；含80GiB EBS后满足四项规格</x:v>
      </x:c>
      <x:c r="E41" s="35" t="str">
        <x:v>AWS按需价+EBS</x:v>
      </x:c>
      <x:c r="F41" s="35" t="str">
        <x:v>https://aws.amazon.com/ec2/instance-types/g6/</x:v>
      </x:c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24" customHeight="1">
      <x:c r="A42" s="36" t="str">
        <x:v>备注15</x:v>
      </x:c>
      <x:c r="B42" s="35" t="str">
        <x:v>RunPod</x:v>
      </x:c>
      <x:c r="C42" s="35" t="str">
        <x:v>NVIDIA L4</x:v>
      </x:c>
      <x:c r="D42" s="35" t="str">
        <x:v>内存高18GB，CPU高4核</x:v>
      </x:c>
      <x:c r="E42" s="35" t="str">
        <x:v>社区云按需价</x:v>
      </x:c>
      <x:c r="F42" s="35" t="str">
        <x:v>https://www.runpod.io/pricing</x:v>
      </x:c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24" customHeight="1">
      <x:c r="A43" s="36" t="str">
        <x:v>备注16</x:v>
      </x:c>
      <x:c r="B43" s="35" t="str">
        <x:v>RunPod</x:v>
      </x:c>
      <x:c r="C43" s="35" t="str">
        <x:v>RTX 4090</x:v>
      </x:c>
      <x:c r="D43" s="35" t="str">
        <x:v>CPU少2核，存储与内存按80GB卷补齐</x:v>
      </x:c>
      <x:c r="E43" s="35" t="str">
        <x:v>社区云按需价</x:v>
      </x:c>
      <x:c r="F43" s="35" t="str">
        <x:v>https://www.runpod.io/pricing</x:v>
      </x:c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24" customHeight="1">
      <x:c r="A44" s="36" t="str">
        <x:v>备注17</x:v>
      </x:c>
      <x:c r="B44" s="35" t="str">
        <x:v>AutoDL</x:v>
      </x:c>
      <x:c r="C44" s="35" t="str">
        <x:v>RTX 4090</x:v>
      </x:c>
      <x:c r="D44" s="35" t="str">
        <x:v>网站只公开卡价，未公开该CPU/内存/磁盘组合总价</x:v>
      </x:c>
      <x:c r="E44" s="35" t="str">
        <x:v>仅GPU小时价</x:v>
      </x:c>
      <x:c r="F44" s="35" t="str">
        <x:v>https://www.autodl.com/</x:v>
      </x:c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24" customHeight="1">
      <x:c r="A45" s="36" t="str">
        <x:v>备注18</x:v>
      </x:c>
      <x:c r="B45" s="35" t="str">
        <x:v>AutoDL</x:v>
      </x:c>
      <x:c r="C45" s="35" t="str">
        <x:v>RTX 3090</x:v>
      </x:c>
      <x:c r="D45" s="35" t="str">
        <x:v>网站只公开卡价，未公开该CPU/内存/磁盘组合总价</x:v>
      </x:c>
      <x:c r="E45" s="35" t="str">
        <x:v>仅GPU小时价</x:v>
      </x:c>
      <x:c r="F45" s="35" t="str">
        <x:v>https://www.autodl.com/</x:v>
      </x:c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24" customHeight="1">
      <x:c r="A46" s="36" t="str">
        <x:v>备注19</x:v>
      </x:c>
      <x:c r="B46" s="35" t="str">
        <x:v>腾讯云</x:v>
      </x:c>
      <x:c r="C46" s="35" t="str">
        <x:v>NVIDIA A10</x:v>
      </x:c>
      <x:c r="D46" s="35" t="str">
        <x:v>没有8核32GB的A10直通规格，最小为28核116GB</x:v>
      </x:c>
      <x:c r="E46" s="35" t="str">
        <x:v>价格计算器询价</x:v>
      </x:c>
      <x:c r="F46" s="35" t="str">
        <x:v>https://cloud.tencent.com/document/product/560/19700</x:v>
      </x:c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24" customHeight="1">
      <x:c r="A47" s="36" t="str">
        <x:v>备注20</x:v>
      </x:c>
      <x:c r="B47" s="35" t="str">
        <x:v>阿里云</x:v>
      </x:c>
      <x:c r="C47" s="35" t="str">
        <x:v>NVIDIA A10</x:v>
      </x:c>
      <x:c r="D47" s="35" t="str">
        <x:v>GPU为A10分片1/6，非1整卡24GB；存储需另配</x:v>
      </x:c>
      <x:c r="E47" s="35" t="str">
        <x:v>公开规格页询价</x:v>
      </x:c>
      <x:c r="F47" s="35" t="str">
        <x:v>https://help.aliyun.com/zh/ecs/user-guide/gpu-accelerated-compute-optimized-and-vgpu-accelerated-instance-families-1</x:v>
      </x:c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</x:sheetData>
  <x:mergeCells>
    <x:mergeCell ref="A10:L10"/>
    <x:mergeCell ref="A38:L38"/>
    <x:mergeCell ref="D39:F39"/>
    <x:mergeCell ref="D40:F40"/>
    <x:mergeCell ref="D41:F41"/>
    <x:mergeCell ref="D42:F42"/>
    <x:mergeCell ref="D43:F43"/>
    <x:mergeCell ref="D44:F44"/>
    <x:mergeCell ref="D45:F45"/>
    <x:mergeCell ref="D46:F46"/>
    <x:mergeCell ref="D47:F47"/>
    <x:mergeCell ref="A22:H22"/>
    <x:mergeCell ref="A32:H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C8D9EA"/>
  </x:sheetPr>
  <x:sheetViews>
    <x:sheetView showGridLines="0" workbookViewId="0"/>
  </x:sheetViews>
  <x:sheetFormatPr defaultRowHeight="15"/>
  <x:cols>
    <x:col min="1" max="1" width="27" hidden="0" customWidth="1"/>
    <x:col min="2" max="2" width="17" hidden="0" customWidth="1"/>
    <x:col min="3" max="3" width="78" hidden="0" customWidth="1"/>
    <x:col min="4" max="4" width="62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66" t="str">
        <x:v>来源与计算口径</x:v>
      </x:c>
      <x:c r="B2" s="6"/>
      <x:c r="C2" s="6"/>
      <x:c r="D2" s="6"/>
      <x:c r="E2" s="6"/>
      <x:c r="F2" s="6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公开页面采样日：2026-10-25。挂牌价不是锁价，实际账单以登录后地域、库存与结算页为准。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30" t="str">
        <x:v>供应商 / 产品</x:v>
      </x:c>
      <x:c r="B5" s="30" t="str">
        <x:v>公开价格</x:v>
      </x:c>
      <x:c r="C5" s="30" t="str">
        <x:v>公开配置与口径</x:v>
      </x:c>
      <x:c r="D5" s="30" t="str">
        <x:v>来源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31.5" customHeight="1">
      <x:c r="A6" s="43" t="str">
        <x:v>极智算 RTX 4090</x:v>
      </x:c>
      <x:c r="B6" s="69" t="n">
        <x:v>1.57</x:v>
      </x:c>
      <x:c r="C6" s="39" t="str">
        <x:v>1卡24GB，15核，60GB，系统盘50GB+数据盘100GB；官网小时价，另有月付约1074元</x:v>
      </x:c>
      <x:c r="D6" s="39" t="str">
        <x:v>https://www.jygpu.com/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31.5" customHeight="1">
      <x:c r="A7" s="43" t="str">
        <x:v>极智算 RTX 4090 月付</x:v>
      </x:c>
      <x:c r="B7" s="69" t="n">
        <x:v>1074</x:v>
      </x:c>
      <x:c r="C7" s="39" t="str">
        <x:v>官网月付约1074元，不等同于1.57元×720小时</x:v>
      </x:c>
      <x:c r="D7" s="39" t="str">
        <x:v>https://www.jygpu.com/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31.5" customHeight="1">
      <x:c r="A8" s="43" t="str">
        <x:v>AnyGPU RTX 3090</x:v>
      </x:c>
      <x:c r="B8" s="69" t="n">
        <x:v>783.2</x:v>
      </x:c>
      <x:c r="C8" s="39" t="str">
        <x:v>1卡24GB，8核vCPU，48GB，50GB+200GB SSD；会员月价783.2元、小时价1.36元；非会员890元、1.55元</x:v>
      </x:c>
      <x:c r="D8" s="39" t="str">
        <x:v>https://anygpu.cn/3090.html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31.5" customHeight="1">
      <x:c r="A9" s="43" t="str">
        <x:v>AWS g6.2xlarge</x:v>
      </x:c>
      <x:c r="B9" s="69" t="n">
        <x:v>0.9776</x:v>
      </x:c>
      <x:c r="C9" s="39" t="str">
        <x:v>8 vCPU，32GiB，1×L4 24GB；us-east-1 Linux按需，不含磁盘</x:v>
      </x:c>
      <x:c r="D9" s="39" t="str">
        <x:v>https://aws.amazon.com/ec2/instance-types/g6/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31.5" customHeight="1">
      <x:c r="A10" s="43" t="str">
        <x:v>AWS EBS gp3</x:v>
      </x:c>
      <x:c r="B10" s="69" t="n">
        <x:v>8</x:v>
      </x:c>
      <x:c r="C10" s="39" t="str">
        <x:v>80GiB×0.10美元/GiB-月=8美元/月；价格随地域与容量变化</x:v>
      </x:c>
      <x:c r="D10" s="39" t="str">
        <x:v>https://aws.amazon.com/ebs/pricing/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31.5" customHeight="1">
      <x:c r="A11" s="43" t="str">
        <x:v>RunPod L4</x:v>
      </x:c>
      <x:c r="B11" s="69" t="n">
        <x:v>0.59</x:v>
      </x:c>
      <x:c r="C11" s="39" t="str">
        <x:v>24GB VRAM，50GB RAM，12 vCPU；社区云按小时，不含存储</x:v>
      </x:c>
      <x:c r="D11" s="39" t="str">
        <x:v>https://www.runpod.io/pricing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31.5" customHeight="1">
      <x:c r="A12" s="43" t="str">
        <x:v>RunPod RTX 4090</x:v>
      </x:c>
      <x:c r="B12" s="69" t="n">
        <x:v>0.89</x:v>
      </x:c>
      <x:c r="C12" s="39" t="str">
        <x:v>24GB VRAM，41GB RAM，6 vCPU；社区云按小时，不含存储</x:v>
      </x:c>
      <x:c r="D12" s="39" t="str">
        <x:v>https://www.runpod.io/pricing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31.5" customHeight="1">
      <x:c r="A13" s="43" t="str">
        <x:v>RunPod存储</x:v>
      </x:c>
      <x:c r="B13" s="69" t="n">
        <x:v>0.1</x:v>
      </x:c>
      <x:c r="C13" s="39" t="str">
        <x:v>Container Disk/Volume Disk为0.10美元/GiB-月；80GiB按8美元/月</x:v>
      </x:c>
      <x:c r="D13" s="39" t="str">
        <x:v>https://www.runpod.io/pricing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31.5" customHeight="1">
      <x:c r="A14" s="43" t="str">
        <x:v>AutoDL RTX 4090</x:v>
      </x:c>
      <x:c r="B14" s="69" t="n">
        <x:v>1.88</x:v>
      </x:c>
      <x:c r="C14" s="39" t="str">
        <x:v>1卡24GB；该价格是GPU小时价，CPU、内存与磁盘组合未公开总价</x:v>
      </x:c>
      <x:c r="D14" s="39" t="str">
        <x:v>https://www.autodl.com/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31.5" customHeight="1">
      <x:c r="A15" s="43" t="str">
        <x:v>AutoDL RTX 3090</x:v>
      </x:c>
      <x:c r="B15" s="69" t="n">
        <x:v>1.32</x:v>
      </x:c>
      <x:c r="C15" s="39" t="str">
        <x:v>1卡24GB；该价格是GPU小时价，CPU、内存与磁盘组合未公开总价</x:v>
      </x:c>
      <x:c r="D15" s="39" t="str">
        <x:v>https://www.autodl.com/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31.5" customHeight="1">
      <x:c r="A16" s="43" t="str">
        <x:v>腾讯云 A10</x:v>
      </x:c>
      <x:c r="B16" s="69" t="str">
        <x:v>询价</x:v>
      </x:c>
      <x:c r="C16" s="39" t="str">
        <x:v>PNV4.7XLARGE116：A10 1卡24GB，28 vCPU，116GiB；最小直通规格已超出目标</x:v>
      </x:c>
      <x:c r="D16" s="39" t="str">
        <x:v>https://cloud.tencent.com/document/product/560/19700</x:v>
      </x:c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31.5" customHeight="1">
      <x:c r="A17" s="43" t="str">
        <x:v>阿里云 A10 分片</x:v>
      </x:c>
      <x:c r="B17" s="69" t="str">
        <x:v>询价</x:v>
      </x:c>
      <x:c r="C17" s="39" t="str">
        <x:v>sgn7i-vws-m4.2xlarge：A10 1/6分片，8 vCPU，31GiB；不是整卡24GB</x:v>
      </x:c>
      <x:c r="D17" s="39" t="str">
        <x:v>https://help.aliyun.com/zh/ecs/user-guide/gpu-accelerated-compute-optimized-and-vgpu-accelerated-instance-families-1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31.5" customHeight="1">
      <x:c r="A18" s="43" t="str">
        <x:v>USD/CNY参考汇率</x:v>
      </x:c>
      <x:c r="B18" s="69" t="n">
        <x:v>6.6702</x:v>
      </x:c>
      <x:c r="C18" s="39" t="str">
        <x:v>2026-10-25公开汇率采样，仅作预算折算，付款以支付渠道为准</x:v>
      </x:c>
      <x:c r="D18" s="39" t="str">
        <x:v>https://www.nimbuscalc.com/calculators/financial-calculators/currency-converter/USD-CNY-2026-10-25/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9" t="str">
        <x:v>计算规则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36" customHeight="1">
      <x:c r="A21" s="36" t="str">
        <x:v>月价→小时</x:v>
      </x:c>
      <x:c r="B21" s="35" t="str">
        <x:v>月价 ÷ 720小时</x:v>
      </x:c>
      <x:c r="C21" s="35" t="str">
        <x:v>用于固定月租横向比较</x:v>
      </x:c>
      <x:c r="D21" s="35" t="str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36" customHeight="1">
      <x:c r="A22" s="36" t="str">
        <x:v>美元→人民币</x:v>
      </x:c>
      <x:c r="B22" s="35" t="str">
        <x:v>美元金额 × 6.6702</x:v>
      </x:c>
      <x:c r="C22" s="35" t="str">
        <x:v>不包含银行卡汇率与手续费</x:v>
      </x:c>
      <x:c r="D22" s="35" t="str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36" customHeight="1">
      <x:c r="A23" s="36" t="str">
        <x:v>AWS月价</x:v>
      </x:c>
      <x:c r="B23" s="35" t="str">
        <x:v>(0.9776美元/小时 + 8/720) × 720 × 6.6702</x:v>
      </x:c>
      <x:c r="C23" s="35" t="str">
        <x:v>80GiB EBS为8美元/月；出网流量另计</x:v>
      </x:c>
      <x:c r="D23" s="35" t="str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36" customHeight="1">
      <x:c r="A24" s="36" t="str">
        <x:v>短时样例</x:v>
      </x:c>
      <x:c r="B24" s="35" t="str">
        <x:v>72小时×人民币小时价，对照可编辑的1000元预算样例</x:v>
      </x:c>
      <x:c r="C24" s="35" t="str">
        <x:v>不包含公网流量、快照与税费</x:v>
      </x:c>
      <x:c r="D24" s="35" t="str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36" customHeight="1">
      <x:c r="A25" s="36" t="str">
        <x:v>配置匹配</x:v>
      </x:c>
      <x:c r="B25" s="35" t="str">
        <x:v>显存、内存、CPU、存储分别对照</x:v>
      </x:c>
      <x:c r="C25" s="35" t="str">
        <x:v>只对四项明确要求的资源口径做比较</x:v>
      </x:c>
      <x:c r="D25" s="35" t="str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</x:sheetData>
  <x:mergeCells>
    <x:mergeCell ref="A20:D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7E6E6"/>
  </x:sheetPr>
  <x:sheetViews>
    <x:sheetView showGridLines="0" workbookViewId="0"/>
  </x:sheetViews>
  <x:sheetFormatPr defaultRowHeight="15"/>
  <x:cols>
    <x:col min="1" max="1" width="30" hidden="0" customWidth="1"/>
    <x:col min="2" max="2" width="24" hidden="0" customWidth="1"/>
    <x:col min="3" max="3" width="32" hidden="0" customWidth="1"/>
    <x:col min="4" max="4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>
      <x:c r="A2" s="66" t="str">
        <x:v>报价核对</x:v>
      </x:c>
      <x:c r="B2" s="6"/>
      <x:c r="C2" s="6"/>
      <x:c r="D2" s="6"/>
      <x:c r="E2" s="6"/>
      <x:c r="F2" s="6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>
      <x:c r="A3" s="4" t="str">
        <x:v>用于确认价格换算、配置偏差与工作簿公式没有出现空值或错误。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>
      <x:c r="A5" s="21" t="str">
        <x:v>检查项</x:v>
      </x:c>
      <x:c r="B5" s="21" t="str">
        <x:v>结果</x:v>
      </x:c>
      <x:c r="C5" s="21" t="str">
        <x:v>依据</x:v>
      </x:c>
      <x:c r="D5" s="21" t="str">
        <x:v>状态</x:v>
      </x:c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24" customHeight="1">
      <x:c r="A6" s="59" t="str">
        <x:v>目标配置四项</x:v>
      </x:c>
      <x:c r="B6" s="70" t="str">
        <x:v>24GB / 32GB / 8核 / 80GB</x:v>
      </x:c>
      <x:c r="C6" s="71" t="str">
        <x:v>用户要求</x:v>
      </x:c>
      <x:c r="D6" s="57" t="str">
        <x:v>已记录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24" customHeight="1">
      <x:c r="A7" s="59" t="str">
        <x:v>完全匹配的公开实例</x:v>
      </x:c>
      <x:c r="B7" s="70" t="str">
        <x:v>AWS g6.2xlarge + 80GiB EBS</x:v>
      </x:c>
      <x:c r="C7" s="71" t="str">
        <x:v>AWS公开规格与存储补配</x:v>
      </x:c>
      <x:c r="D7" s="57" t="str">
        <x:v>需询实时库存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24" customHeight="1">
      <x:c r="A8" s="59" t="str">
        <x:v>最低可运行月价</x:v>
      </x:c>
      <x:c r="B8" s="70" t="n">
        <x:f>MIN('报价清单'!F12:F14)</x:f>
        <x:v>783.2</x:v>
      </x:c>
      <x:c r="C8" s="71" t="str">
        <x:v>国内可直购方案</x:v>
      </x:c>
      <x:c r="D8" s="57" t="str">
        <x:v>参考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24" customHeight="1">
      <x:c r="A9" s="59" t="str">
        <x:v>极智算小时价复算</x:v>
      </x:c>
      <x:c r="B9" s="70" t="str">
        <x:f>IF(ABS('报价清单'!G12-1.57)&lt;0.001,"一致","不一致")</x:f>
        <x:v>一致</x:v>
      </x:c>
      <x:c r="C9" s="71" t="str">
        <x:v>官网1.57元/小时</x:v>
      </x:c>
      <x:c r="D9" s="57" t="str">
        <x:v>核对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24" customHeight="1">
      <x:c r="A10" s="59" t="str">
        <x:v>AWS月价复算</x:v>
      </x:c>
      <x:c r="B10" s="70" t="str">
        <x:f>IF(ABS('报价清单'!F14-31672.3015)&lt;1,"一致","不一致")</x:f>
        <x:v>一致</x:v>
      </x:c>
      <x:c r="C10" s="71" t="str">
        <x:v>(0.9776+8/720)×720×6.6702</x:v>
      </x:c>
      <x:c r="D10" s="57" t="str">
        <x:v>核对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24" customHeight="1">
      <x:c r="A11" s="59" t="str">
        <x:v>询价方案数量</x:v>
      </x:c>
      <x:c r="B11" s="70" t="n">
        <x:f>COUNTIF('报价清单'!F19:F20,"询价")</x:f>
        <x:v>2</x:v>
      </x:c>
      <x:c r="C11" s="71" t="str">
        <x:v>公开页无实时总价</x:v>
      </x:c>
      <x:c r="D11" s="57" t="str">
        <x:v>待询价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24" customHeight="1">
      <x:c r="A12" s="59" t="str">
        <x:v>报价采样日</x:v>
      </x:c>
      <x:c r="B12" s="70" t="str">
        <x:v>2026-10-25</x:v>
      </x:c>
      <x:c r="C12" s="71" t="str">
        <x:v>官网公开页面</x:v>
      </x:c>
      <x:c r="D12" s="57" t="str">
        <x:v>已记录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</x:sheetData>
  <x:pageMargins left="0.7" right="0.7" top="0.75" bottom="0.75" header="0.3" footer="0.3"/>
</x:worksheet>
</file>